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  <sheet name="交易记录 - 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202124"/>
    </font>
  </fonts>
  <fills count="3">
    <fill>
      <patternFill/>
    </fill>
    <fill>
      <patternFill patternType="gray125"/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bottom style="thin">
        <color rgb="00DADC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radeRecords1" displayName="TradeRecords1" ref="A1:U2" headerRowCount="1">
  <autoFilter ref="A1:U2"/>
  <tableColumns count="21">
    <tableColumn id="1" name="类型"/>
    <tableColumn id="2" name="开仓"/>
    <tableColumn id="3" name="到期"/>
    <tableColumn id="4" name="平仓"/>
    <tableColumn id="5" name="代码"/>
    <tableColumn id="6" name="事件"/>
    <tableColumn id="7" name="行权价"/>
    <tableColumn id="8" name="数量"/>
    <tableColumn id="9" name="开仓价"/>
    <tableColumn id="10" name="平仓价"/>
    <tableColumn id="11" name="费用"/>
    <tableColumn id="12" name="占用本金"/>
    <tableColumn id="13" name="盈亏"/>
    <tableColumn id="14" name="天数"/>
    <tableColumn id="15" name="日均盈亏"/>
    <tableColumn id="16" name="收益率"/>
    <tableColumn id="17" name="年化收益"/>
    <tableColumn id="18" name="备注"/>
    <tableColumn id="19" name="乘数"/>
    <tableColumn id="20" name="币种"/>
    <tableColumn id="21" name="年份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radeRecords2" displayName="TradeRecords2" ref="A1:U2" headerRowCount="1">
  <autoFilter ref="A1:U2"/>
  <tableColumns count="21">
    <tableColumn id="1" name="类型"/>
    <tableColumn id="2" name="开仓"/>
    <tableColumn id="3" name="到期"/>
    <tableColumn id="4" name="平仓"/>
    <tableColumn id="5" name="代码"/>
    <tableColumn id="6" name="事件"/>
    <tableColumn id="7" name="行权价"/>
    <tableColumn id="8" name="数量"/>
    <tableColumn id="9" name="开仓价"/>
    <tableColumn id="10" name="平仓价"/>
    <tableColumn id="11" name="费用"/>
    <tableColumn id="12" name="占用本金"/>
    <tableColumn id="13" name="盈亏"/>
    <tableColumn id="14" name="天数"/>
    <tableColumn id="15" name="日均盈亏"/>
    <tableColumn id="16" name="收益率"/>
    <tableColumn id="17" name="年化收益"/>
    <tableColumn id="18" name="备注"/>
    <tableColumn id="19" name="乘数"/>
    <tableColumn id="20" name="币种"/>
    <tableColumn id="21" name="年份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类型</t>
        </is>
      </c>
      <c r="B1" s="1" t="inlineStr">
        <is>
          <t>开仓</t>
        </is>
      </c>
      <c r="C1" s="1" t="inlineStr">
        <is>
          <t>到期</t>
        </is>
      </c>
      <c r="D1" s="1" t="inlineStr">
        <is>
          <t>平仓</t>
        </is>
      </c>
      <c r="E1" s="1" t="inlineStr">
        <is>
          <t>代码</t>
        </is>
      </c>
      <c r="F1" s="1" t="inlineStr">
        <is>
          <t>事件</t>
        </is>
      </c>
      <c r="G1" s="1" t="inlineStr">
        <is>
          <t>行权价</t>
        </is>
      </c>
      <c r="H1" s="1" t="inlineStr">
        <is>
          <t>数量</t>
        </is>
      </c>
      <c r="I1" s="1" t="inlineStr">
        <is>
          <t>开仓价</t>
        </is>
      </c>
      <c r="J1" s="1" t="inlineStr">
        <is>
          <t>平仓价</t>
        </is>
      </c>
      <c r="K1" s="1" t="inlineStr">
        <is>
          <t>费用</t>
        </is>
      </c>
      <c r="L1" s="1" t="inlineStr">
        <is>
          <t>占用本金</t>
        </is>
      </c>
      <c r="M1" s="1" t="inlineStr">
        <is>
          <t>盈亏</t>
        </is>
      </c>
      <c r="N1" s="1" t="inlineStr">
        <is>
          <t>天数</t>
        </is>
      </c>
      <c r="O1" s="1" t="inlineStr">
        <is>
          <t>日均盈亏</t>
        </is>
      </c>
      <c r="P1" s="1" t="inlineStr">
        <is>
          <t>收益率</t>
        </is>
      </c>
      <c r="Q1" s="1" t="inlineStr">
        <is>
          <t>年化收益</t>
        </is>
      </c>
      <c r="R1" s="1" t="inlineStr">
        <is>
          <t>备注</t>
        </is>
      </c>
      <c r="S1" s="1" t="inlineStr">
        <is>
          <t>乘数</t>
        </is>
      </c>
      <c r="T1" s="1" t="inlineStr">
        <is>
          <t>币种</t>
        </is>
      </c>
      <c r="U1" s="1" t="inlineStr">
        <is>
          <t>年份</t>
        </is>
      </c>
    </row>
    <row r="2">
      <c r="A2" t="inlineStr">
        <is>
          <t>股票</t>
        </is>
      </c>
      <c r="B2" s="2" t="n">
        <v>46056</v>
      </c>
      <c r="E2" t="inlineStr">
        <is>
          <t>00700</t>
        </is>
      </c>
      <c r="F2" t="inlineStr">
        <is>
          <t>现股</t>
        </is>
      </c>
      <c r="H2" t="n">
        <v>800</v>
      </c>
      <c r="I2" t="n">
        <v>285</v>
      </c>
      <c r="K2" t="n">
        <v>120</v>
      </c>
      <c r="L2" t="n">
        <v>228000</v>
      </c>
      <c r="M2">
        <f>IF(J2="","",IF(OR(A2="股票",A2="SDI"),((J2-I2)*H2)-K2,IF(AND(OR(A2="卖出",A2="Sell"),OR(F2="现股",F2="Stock")),((I2-J2)*H2)-K2,IF(AND(OR(A2="买入",A2="Buy"),OR(F2="现股",F2="Stock")),((J2-I2)*H2)-K2,IF(OR(A2="卖出",A2="Sell"),((I2-J2)*H2*IF(S2="",100,S2))-K2,IF(OR(A2="买入",A2="Buy"),((J2-I2)*H2*IF(S2="",100,S2))-K2,IF(OR(A2="指派",A2="Ass"),((J2-I2)*H2*IF(S2="",100,S2))-K2,"")))))))</f>
        <v/>
      </c>
      <c r="N2">
        <f>IF(B2="","",IF(D2="",MAX(1,TODAY()-B2),MAX(1,D2-B2)))</f>
        <v/>
      </c>
      <c r="O2">
        <f>IF(OR(M2="",N2=""),"",M2/N2)</f>
        <v/>
      </c>
      <c r="P2">
        <f>IF(OR(M2="",L2="",L2=0),"",M2/L2)</f>
        <v/>
      </c>
      <c r="Q2">
        <f>IF(OR(P2="",N2=""),"",P2/N2*365)</f>
        <v/>
      </c>
      <c r="R2" t="inlineStr">
        <is>
          <t>合成示例：港股底仓，不是真实交易</t>
        </is>
      </c>
      <c r="T2" t="inlineStr">
        <is>
          <t>港币</t>
        </is>
      </c>
      <c r="U2">
        <f>IF(B2="","",YEAR(B2))</f>
        <v/>
      </c>
    </row>
    <row r="3">
      <c r="A3" t="inlineStr">
        <is>
          <t>卖出</t>
        </is>
      </c>
      <c r="B3" s="2" t="n">
        <v>46101</v>
      </c>
      <c r="C3" s="2" t="n">
        <v>46136</v>
      </c>
      <c r="D3" s="2" t="n">
        <v>46136</v>
      </c>
      <c r="E3" t="inlineStr">
        <is>
          <t>00700</t>
        </is>
      </c>
      <c r="F3" t="inlineStr">
        <is>
          <t>认购</t>
        </is>
      </c>
      <c r="G3" t="n">
        <v>340</v>
      </c>
      <c r="H3" t="n">
        <v>4</v>
      </c>
      <c r="I3" t="n">
        <v>1.5</v>
      </c>
      <c r="J3" t="n">
        <v>0</v>
      </c>
      <c r="K3" t="n">
        <v>25</v>
      </c>
      <c r="L3" t="n">
        <v>114000</v>
      </c>
      <c r="M3">
        <f>IF(J3="","",IF(OR(A3="股票",A3="SDI"),((J3-I3)*H3)-K3,IF(AND(OR(A3="卖出",A3="Sell"),OR(F3="现股",F3="Stock")),((I3-J3)*H3)-K3,IF(AND(OR(A3="买入",A3="Buy"),OR(F3="现股",F3="Stock")),((J3-I3)*H3)-K3,IF(OR(A3="卖出",A3="Sell"),((I3-J3)*H3*IF(S3="",100,S3))-K3,IF(OR(A3="买入",A3="Buy"),((J3-I3)*H3*IF(S3="",100,S3))-K3,IF(OR(A3="指派",A3="Ass"),((J3-I3)*H3*IF(S3="",100,S3))-K3,"")))))))</f>
        <v/>
      </c>
      <c r="N3">
        <f>IF(B3="","",IF(D3="",MAX(1,TODAY()-B3),MAX(1,D3-B3)))</f>
        <v/>
      </c>
      <c r="O3">
        <f>IF(OR(M3="",N3=""),"",M3/N3)</f>
        <v/>
      </c>
      <c r="P3">
        <f>IF(OR(M3="",L3="",L3=0),"",M3/L3)</f>
        <v/>
      </c>
      <c r="Q3">
        <f>IF(OR(P3="",N3=""),"",P3/N3*365)</f>
        <v/>
      </c>
      <c r="R3" t="inlineStr">
        <is>
          <t>合成示例：covered call 到期作废</t>
        </is>
      </c>
      <c r="S3" t="n">
        <v>100</v>
      </c>
      <c r="T3" t="inlineStr">
        <is>
          <t>港币</t>
        </is>
      </c>
      <c r="U3">
        <f>IF(B3="","",YEAR(B3))</f>
        <v/>
      </c>
    </row>
    <row r="4">
      <c r="A4" t="inlineStr">
        <is>
          <t>卖出</t>
        </is>
      </c>
      <c r="B4" s="2" t="n">
        <v>46127</v>
      </c>
      <c r="C4" s="2" t="n">
        <v>46171</v>
      </c>
      <c r="E4" t="inlineStr">
        <is>
          <t>00700</t>
        </is>
      </c>
      <c r="F4" t="inlineStr">
        <is>
          <t>认购</t>
        </is>
      </c>
      <c r="G4" t="n">
        <v>360</v>
      </c>
      <c r="H4" t="n">
        <v>4</v>
      </c>
      <c r="I4" t="n">
        <v>1.2</v>
      </c>
      <c r="K4" t="n">
        <v>35</v>
      </c>
      <c r="L4" t="n">
        <v>114000</v>
      </c>
      <c r="M4">
        <f>IF(J4="","",IF(OR(A4="股票",A4="SDI"),((J4-I4)*H4)-K4,IF(AND(OR(A4="卖出",A4="Sell"),OR(F4="现股",F4="Stock")),((I4-J4)*H4)-K4,IF(AND(OR(A4="买入",A4="Buy"),OR(F4="现股",F4="Stock")),((J4-I4)*H4)-K4,IF(OR(A4="卖出",A4="Sell"),((I4-J4)*H4*IF(S4="",100,S4))-K4,IF(OR(A4="买入",A4="Buy"),((J4-I4)*H4*IF(S4="",100,S4))-K4,IF(OR(A4="指派",A4="Ass"),((J4-I4)*H4*IF(S4="",100,S4))-K4,"")))))))</f>
        <v/>
      </c>
      <c r="N4">
        <f>IF(B4="","",IF(D4="",MAX(1,TODAY()-B4),MAX(1,D4-B4)))</f>
        <v/>
      </c>
      <c r="O4">
        <f>IF(OR(M4="",N4=""),"",M4/N4)</f>
        <v/>
      </c>
      <c r="P4">
        <f>IF(OR(M4="",L4="",L4=0),"",M4/L4)</f>
        <v/>
      </c>
      <c r="Q4">
        <f>IF(OR(P4="",N4=""),"",P4/N4*365)</f>
        <v/>
      </c>
      <c r="R4" t="inlineStr">
        <is>
          <t>合成示例：未平仓 covered call</t>
        </is>
      </c>
      <c r="S4" t="n">
        <v>100</v>
      </c>
      <c r="T4" t="inlineStr">
        <is>
          <t>港币</t>
        </is>
      </c>
      <c r="U4">
        <f>IF(B4="","",YEAR(B4))</f>
        <v/>
      </c>
    </row>
    <row r="5">
      <c r="A5" t="inlineStr">
        <is>
          <t>卖出</t>
        </is>
      </c>
      <c r="B5" s="2" t="n">
        <v>46132</v>
      </c>
      <c r="C5" s="2" t="n">
        <v>46171</v>
      </c>
      <c r="E5" t="inlineStr">
        <is>
          <t>09988</t>
        </is>
      </c>
      <c r="F5" t="inlineStr">
        <is>
          <t>认沽</t>
        </is>
      </c>
      <c r="G5" t="n">
        <v>70</v>
      </c>
      <c r="H5" t="n">
        <v>3</v>
      </c>
      <c r="I5" t="n">
        <v>0.8</v>
      </c>
      <c r="K5" t="n">
        <v>28</v>
      </c>
      <c r="L5" t="n">
        <v>105000</v>
      </c>
      <c r="M5">
        <f>IF(J5="","",IF(OR(A5="股票",A5="SDI"),((J5-I5)*H5)-K5,IF(AND(OR(A5="卖出",A5="Sell"),OR(F5="现股",F5="Stock")),((I5-J5)*H5)-K5,IF(AND(OR(A5="买入",A5="Buy"),OR(F5="现股",F5="Stock")),((J5-I5)*H5)-K5,IF(OR(A5="卖出",A5="Sell"),((I5-J5)*H5*IF(S5="",100,S5))-K5,IF(OR(A5="买入",A5="Buy"),((J5-I5)*H5*IF(S5="",100,S5))-K5,IF(OR(A5="指派",A5="Ass"),((J5-I5)*H5*IF(S5="",100,S5))-K5,"")))))))</f>
        <v/>
      </c>
      <c r="N5">
        <f>IF(B5="","",IF(D5="",MAX(1,TODAY()-B5),MAX(1,D5-B5)))</f>
        <v/>
      </c>
      <c r="O5">
        <f>IF(OR(M5="",N5=""),"",M5/N5)</f>
        <v/>
      </c>
      <c r="P5">
        <f>IF(OR(M5="",L5="",L5=0),"",M5/L5)</f>
        <v/>
      </c>
      <c r="Q5">
        <f>IF(OR(P5="",N5=""),"",P5/N5*365)</f>
        <v/>
      </c>
      <c r="R5" t="inlineStr">
        <is>
          <t>合成示例：未平仓 cash-secured put</t>
        </is>
      </c>
      <c r="S5" t="n">
        <v>500</v>
      </c>
      <c r="T5" t="inlineStr">
        <is>
          <t>港币</t>
        </is>
      </c>
      <c r="U5">
        <f>IF(B5="","",YEAR(B5))</f>
        <v/>
      </c>
    </row>
    <row r="6">
      <c r="A6" t="inlineStr">
        <is>
          <t>股票</t>
        </is>
      </c>
      <c r="B6" s="2" t="n">
        <v>46032</v>
      </c>
      <c r="E6" t="inlineStr">
        <is>
          <t>510300</t>
        </is>
      </c>
      <c r="F6" t="inlineStr">
        <is>
          <t>现股</t>
        </is>
      </c>
      <c r="H6" t="n">
        <v>50000</v>
      </c>
      <c r="I6" t="n">
        <v>3.6</v>
      </c>
      <c r="K6" t="n">
        <v>18</v>
      </c>
      <c r="L6" t="n">
        <v>180000</v>
      </c>
      <c r="M6">
        <f>IF(J6="","",IF(OR(A6="股票",A6="SDI"),((J6-I6)*H6)-K6,IF(AND(OR(A6="卖出",A6="Sell"),OR(F6="现股",F6="Stock")),((I6-J6)*H6)-K6,IF(AND(OR(A6="买入",A6="Buy"),OR(F6="现股",F6="Stock")),((J6-I6)*H6)-K6,IF(OR(A6="卖出",A6="Sell"),((I6-J6)*H6*IF(S6="",100,S6))-K6,IF(OR(A6="买入",A6="Buy"),((J6-I6)*H6*IF(S6="",100,S6))-K6,IF(OR(A6="指派",A6="Ass"),((J6-I6)*H6*IF(S6="",100,S6))-K6,"")))))))</f>
        <v/>
      </c>
      <c r="N6">
        <f>IF(B6="","",IF(D6="",MAX(1,TODAY()-B6),MAX(1,D6-B6)))</f>
        <v/>
      </c>
      <c r="O6">
        <f>IF(OR(M6="",N6=""),"",M6/N6)</f>
        <v/>
      </c>
      <c r="P6">
        <f>IF(OR(M6="",L6="",L6=0),"",M6/L6)</f>
        <v/>
      </c>
      <c r="Q6">
        <f>IF(OR(P6="",N6=""),"",P6/N6*365)</f>
        <v/>
      </c>
      <c r="R6" t="inlineStr">
        <is>
          <t>合成示例：人民币 ETF 持仓</t>
        </is>
      </c>
      <c r="T6" t="inlineStr">
        <is>
          <t>人民币</t>
        </is>
      </c>
      <c r="U6">
        <f>IF(B6="","",YEAR(B6))</f>
        <v/>
      </c>
    </row>
    <row r="7">
      <c r="A7" t="inlineStr">
        <is>
          <t>股票</t>
        </is>
      </c>
      <c r="B7" s="2" t="n">
        <v>46032</v>
      </c>
      <c r="D7" s="2" t="n">
        <v>46106</v>
      </c>
      <c r="E7" t="inlineStr">
        <is>
          <t>510300</t>
        </is>
      </c>
      <c r="F7" t="inlineStr">
        <is>
          <t>现股</t>
        </is>
      </c>
      <c r="H7" t="n">
        <v>10000</v>
      </c>
      <c r="I7" t="n">
        <v>3.6</v>
      </c>
      <c r="J7" t="n">
        <v>3.95</v>
      </c>
      <c r="K7" t="n">
        <v>16</v>
      </c>
      <c r="L7" t="n">
        <v>36000</v>
      </c>
      <c r="M7">
        <f>IF(J7="","",IF(OR(A7="股票",A7="SDI"),((J7-I7)*H7)-K7,IF(AND(OR(A7="卖出",A7="Sell"),OR(F7="现股",F7="Stock")),((I7-J7)*H7)-K7,IF(AND(OR(A7="买入",A7="Buy"),OR(F7="现股",F7="Stock")),((J7-I7)*H7)-K7,IF(OR(A7="卖出",A7="Sell"),((I7-J7)*H7*IF(S7="",100,S7))-K7,IF(OR(A7="买入",A7="Buy"),((J7-I7)*H7*IF(S7="",100,S7))-K7,IF(OR(A7="指派",A7="Ass"),((J7-I7)*H7*IF(S7="",100,S7))-K7,"")))))))</f>
        <v/>
      </c>
      <c r="N7">
        <f>IF(B7="","",IF(D7="",MAX(1,TODAY()-B7),MAX(1,D7-B7)))</f>
        <v/>
      </c>
      <c r="O7">
        <f>IF(OR(M7="",N7=""),"",M7/N7)</f>
        <v/>
      </c>
      <c r="P7">
        <f>IF(OR(M7="",L7="",L7=0),"",M7/L7)</f>
        <v/>
      </c>
      <c r="Q7">
        <f>IF(OR(P7="",N7=""),"",P7/N7*365)</f>
        <v/>
      </c>
      <c r="R7" t="inlineStr">
        <is>
          <t>合成示例：人民币 ETF 部分止盈</t>
        </is>
      </c>
      <c r="T7" t="inlineStr">
        <is>
          <t>人民币</t>
        </is>
      </c>
      <c r="U7">
        <f>IF(B7="","",YEAR(B7))</f>
        <v/>
      </c>
    </row>
    <row r="8">
      <c r="A8" t="inlineStr">
        <is>
          <t>卖出</t>
        </is>
      </c>
      <c r="B8" s="2" t="n">
        <v>46071</v>
      </c>
      <c r="E8" t="inlineStr">
        <is>
          <t>600000</t>
        </is>
      </c>
      <c r="F8" t="inlineStr">
        <is>
          <t>现股</t>
        </is>
      </c>
      <c r="H8" t="n">
        <v>2000</v>
      </c>
      <c r="I8" t="n">
        <v>12.5</v>
      </c>
      <c r="K8" t="n">
        <v>20</v>
      </c>
      <c r="L8" t="n">
        <v>25000</v>
      </c>
      <c r="M8">
        <f>IF(J8="","",IF(OR(A8="股票",A8="SDI"),((J8-I8)*H8)-K8,IF(AND(OR(A8="卖出",A8="Sell"),OR(F8="现股",F8="Stock")),((I8-J8)*H8)-K8,IF(AND(OR(A8="买入",A8="Buy"),OR(F8="现股",F8="Stock")),((J8-I8)*H8)-K8,IF(OR(A8="卖出",A8="Sell"),((I8-J8)*H8*IF(S8="",100,S8))-K8,IF(OR(A8="买入",A8="Buy"),((J8-I8)*H8*IF(S8="",100,S8))-K8,IF(OR(A8="指派",A8="Ass"),((J8-I8)*H8*IF(S8="",100,S8))-K8,"")))))))</f>
        <v/>
      </c>
      <c r="N8">
        <f>IF(B8="","",IF(D8="",MAX(1,TODAY()-B8),MAX(1,D8-B8)))</f>
        <v/>
      </c>
      <c r="O8">
        <f>IF(OR(M8="",N8=""),"",M8/N8)</f>
        <v/>
      </c>
      <c r="P8">
        <f>IF(OR(M8="",L8="",L8=0),"",M8/L8)</f>
        <v/>
      </c>
      <c r="Q8">
        <f>IF(OR(P8="",N8=""),"",P8/N8*365)</f>
        <v/>
      </c>
      <c r="R8" t="inlineStr">
        <is>
          <t>合成示例：空头持仓展示</t>
        </is>
      </c>
      <c r="T8" t="inlineStr">
        <is>
          <t>人民币</t>
        </is>
      </c>
      <c r="U8">
        <f>IF(B8="","",YEAR(B8))</f>
        <v/>
      </c>
    </row>
    <row r="9">
      <c r="A9" t="inlineStr">
        <is>
          <t>股票</t>
        </is>
      </c>
      <c r="B9" s="2" t="n">
        <v>46117</v>
      </c>
      <c r="D9" s="2" t="n">
        <v>46142</v>
      </c>
      <c r="E9" t="inlineStr">
        <is>
          <t>600000</t>
        </is>
      </c>
      <c r="F9" t="inlineStr">
        <is>
          <t>现股</t>
        </is>
      </c>
      <c r="H9" t="n">
        <v>1000</v>
      </c>
      <c r="I9" t="n">
        <v>11.8</v>
      </c>
      <c r="J9" t="n">
        <v>12.2</v>
      </c>
      <c r="K9" t="n">
        <v>8</v>
      </c>
      <c r="L9" t="n">
        <v>11800</v>
      </c>
      <c r="M9">
        <f>IF(J9="","",IF(OR(A9="股票",A9="SDI"),((J9-I9)*H9)-K9,IF(AND(OR(A9="卖出",A9="Sell"),OR(F9="现股",F9="Stock")),((I9-J9)*H9)-K9,IF(AND(OR(A9="买入",A9="Buy"),OR(F9="现股",F9="Stock")),((J9-I9)*H9)-K9,IF(OR(A9="卖出",A9="Sell"),((I9-J9)*H9*IF(S9="",100,S9))-K9,IF(OR(A9="买入",A9="Buy"),((J9-I9)*H9*IF(S9="",100,S9))-K9,IF(OR(A9="指派",A9="Ass"),((J9-I9)*H9*IF(S9="",100,S9))-K9,"")))))))</f>
        <v/>
      </c>
      <c r="N9">
        <f>IF(B9="","",IF(D9="",MAX(1,TODAY()-B9),MAX(1,D9-B9)))</f>
        <v/>
      </c>
      <c r="O9">
        <f>IF(OR(M9="",N9=""),"",M9/N9)</f>
        <v/>
      </c>
      <c r="P9">
        <f>IF(OR(M9="",L9="",L9=0),"",M9/L9)</f>
        <v/>
      </c>
      <c r="Q9">
        <f>IF(OR(P9="",N9=""),"",P9/N9*365)</f>
        <v/>
      </c>
      <c r="R9" t="inlineStr">
        <is>
          <t>合成示例：已完成现股交易</t>
        </is>
      </c>
      <c r="T9" t="inlineStr">
        <is>
          <t>人民币</t>
        </is>
      </c>
      <c r="U9">
        <f>IF(B9="","",YEAR(B9))</f>
        <v/>
      </c>
    </row>
    <row r="10">
      <c r="A10" t="inlineStr">
        <is>
          <t>股票</t>
        </is>
      </c>
      <c r="B10" s="2" t="n">
        <v>46054</v>
      </c>
      <c r="E10" t="inlineStr">
        <is>
          <t>AAPL</t>
        </is>
      </c>
      <c r="F10" t="inlineStr">
        <is>
          <t>现股</t>
        </is>
      </c>
      <c r="H10" t="n">
        <v>20</v>
      </c>
      <c r="I10" t="n">
        <v>180</v>
      </c>
      <c r="K10" t="n">
        <v>2.5</v>
      </c>
      <c r="L10" t="n">
        <v>3600</v>
      </c>
      <c r="M10">
        <f>IF(J10="","",IF(OR(A10="股票",A10="SDI"),((J10-I10)*H10)-K10,IF(AND(OR(A10="卖出",A10="Sell"),OR(F10="现股",F10="Stock")),((I10-J10)*H10)-K10,IF(AND(OR(A10="买入",A10="Buy"),OR(F10="现股",F10="Stock")),((J10-I10)*H10)-K10,IF(OR(A10="卖出",A10="Sell"),((I10-J10)*H10*IF(S10="",100,S10))-K10,IF(OR(A10="买入",A10="Buy"),((J10-I10)*H10*IF(S10="",100,S10))-K10,IF(OR(A10="指派",A10="Ass"),((J10-I10)*H10*IF(S10="",100,S10))-K10,"")))))))</f>
        <v/>
      </c>
      <c r="N10">
        <f>IF(B10="","",IF(D10="",MAX(1,TODAY()-B10),MAX(1,D10-B10)))</f>
        <v/>
      </c>
      <c r="O10">
        <f>IF(OR(M10="",N10=""),"",M10/N10)</f>
        <v/>
      </c>
      <c r="P10">
        <f>IF(OR(M10="",L10="",L10=0),"",M10/L10)</f>
        <v/>
      </c>
      <c r="Q10">
        <f>IF(OR(P10="",N10=""),"",P10/N10*365)</f>
        <v/>
      </c>
      <c r="R10" t="inlineStr">
        <is>
          <t>合成示例：美股持仓</t>
        </is>
      </c>
      <c r="T10" t="inlineStr">
        <is>
          <t>美元</t>
        </is>
      </c>
      <c r="U10">
        <f>IF(B10="","",YEAR(B10))</f>
        <v/>
      </c>
    </row>
    <row r="11">
      <c r="A11" t="inlineStr">
        <is>
          <t>卖出</t>
        </is>
      </c>
      <c r="B11" s="2" t="n">
        <v>46122</v>
      </c>
      <c r="C11" s="2" t="n">
        <v>46159</v>
      </c>
      <c r="E11" t="inlineStr">
        <is>
          <t>AAPL</t>
        </is>
      </c>
      <c r="F11" t="inlineStr">
        <is>
          <t>认沽</t>
        </is>
      </c>
      <c r="G11" t="n">
        <v>170</v>
      </c>
      <c r="H11" t="n">
        <v>1</v>
      </c>
      <c r="I11" t="n">
        <v>2.4</v>
      </c>
      <c r="K11" t="n">
        <v>1.2</v>
      </c>
      <c r="L11" t="n">
        <v>17000</v>
      </c>
      <c r="M11">
        <f>IF(J11="","",IF(OR(A11="股票",A11="SDI"),((J11-I11)*H11)-K11,IF(AND(OR(A11="卖出",A11="Sell"),OR(F11="现股",F11="Stock")),((I11-J11)*H11)-K11,IF(AND(OR(A11="买入",A11="Buy"),OR(F11="现股",F11="Stock")),((J11-I11)*H11)-K11,IF(OR(A11="卖出",A11="Sell"),((I11-J11)*H11*IF(S11="",100,S11))-K11,IF(OR(A11="买入",A11="Buy"),((J11-I11)*H11*IF(S11="",100,S11))-K11,IF(OR(A11="指派",A11="Ass"),((J11-I11)*H11*IF(S11="",100,S11))-K11,"")))))))</f>
        <v/>
      </c>
      <c r="N11">
        <f>IF(B11="","",IF(D11="",MAX(1,TODAY()-B11),MAX(1,D11-B11)))</f>
        <v/>
      </c>
      <c r="O11">
        <f>IF(OR(M11="",N11=""),"",M11/N11)</f>
        <v/>
      </c>
      <c r="P11">
        <f>IF(OR(M11="",L11="",L11=0),"",M11/L11)</f>
        <v/>
      </c>
      <c r="Q11">
        <f>IF(OR(P11="",N11=""),"",P11/N11*365)</f>
        <v/>
      </c>
      <c r="R11" t="inlineStr">
        <is>
          <t>合成示例：未平仓 cash-secured put</t>
        </is>
      </c>
      <c r="S11" t="n">
        <v>100</v>
      </c>
      <c r="T11" t="inlineStr">
        <is>
          <t>美元</t>
        </is>
      </c>
      <c r="U11">
        <f>IF(B11="","",YEAR(B11))</f>
        <v/>
      </c>
    </row>
    <row r="12">
      <c r="A12" t="inlineStr">
        <is>
          <t>股票</t>
        </is>
      </c>
      <c r="B12" s="2" t="n">
        <v>46006</v>
      </c>
      <c r="D12" s="2" t="n">
        <v>46073</v>
      </c>
      <c r="E12" t="inlineStr">
        <is>
          <t>MSFT</t>
        </is>
      </c>
      <c r="F12" t="inlineStr">
        <is>
          <t>现股</t>
        </is>
      </c>
      <c r="H12" t="n">
        <v>10</v>
      </c>
      <c r="I12" t="n">
        <v>390</v>
      </c>
      <c r="J12" t="n">
        <v>420</v>
      </c>
      <c r="K12" t="n">
        <v>2.5</v>
      </c>
      <c r="L12" t="n">
        <v>3900</v>
      </c>
      <c r="M12">
        <f>IF(J12="","",IF(OR(A12="股票",A12="SDI"),((J12-I12)*H12)-K12,IF(AND(OR(A12="卖出",A12="Sell"),OR(F12="现股",F12="Stock")),((I12-J12)*H12)-K12,IF(AND(OR(A12="买入",A12="Buy"),OR(F12="现股",F12="Stock")),((J12-I12)*H12)-K12,IF(OR(A12="卖出",A12="Sell"),((I12-J12)*H12*IF(S12="",100,S12))-K12,IF(OR(A12="买入",A12="Buy"),((J12-I12)*H12*IF(S12="",100,S12))-K12,IF(OR(A12="指派",A12="Ass"),((J12-I12)*H12*IF(S12="",100,S12))-K12,"")))))))</f>
        <v/>
      </c>
      <c r="N12">
        <f>IF(B12="","",IF(D12="",MAX(1,TODAY()-B12),MAX(1,D12-B12)))</f>
        <v/>
      </c>
      <c r="O12">
        <f>IF(OR(M12="",N12=""),"",M12/N12)</f>
        <v/>
      </c>
      <c r="P12">
        <f>IF(OR(M12="",L12="",L12=0),"",M12/L12)</f>
        <v/>
      </c>
      <c r="Q12">
        <f>IF(OR(P12="",N12=""),"",P12/N12*365)</f>
        <v/>
      </c>
      <c r="R12" t="inlineStr">
        <is>
          <t>合成示例：美股已平仓</t>
        </is>
      </c>
      <c r="T12" t="inlineStr">
        <is>
          <t>美元</t>
        </is>
      </c>
      <c r="U12">
        <f>IF(B12="","",YEAR(B12))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类型</t>
        </is>
      </c>
      <c r="B1" s="1" t="inlineStr">
        <is>
          <t>开仓</t>
        </is>
      </c>
      <c r="C1" s="1" t="inlineStr">
        <is>
          <t>到期</t>
        </is>
      </c>
      <c r="D1" s="1" t="inlineStr">
        <is>
          <t>平仓</t>
        </is>
      </c>
      <c r="E1" s="1" t="inlineStr">
        <is>
          <t>代码</t>
        </is>
      </c>
      <c r="F1" s="1" t="inlineStr">
        <is>
          <t>事件</t>
        </is>
      </c>
      <c r="G1" s="1" t="inlineStr">
        <is>
          <t>行权价</t>
        </is>
      </c>
      <c r="H1" s="1" t="inlineStr">
        <is>
          <t>数量</t>
        </is>
      </c>
      <c r="I1" s="1" t="inlineStr">
        <is>
          <t>开仓价</t>
        </is>
      </c>
      <c r="J1" s="1" t="inlineStr">
        <is>
          <t>平仓价</t>
        </is>
      </c>
      <c r="K1" s="1" t="inlineStr">
        <is>
          <t>费用</t>
        </is>
      </c>
      <c r="L1" s="1" t="inlineStr">
        <is>
          <t>占用本金</t>
        </is>
      </c>
      <c r="M1" s="1" t="inlineStr">
        <is>
          <t>盈亏</t>
        </is>
      </c>
      <c r="N1" s="1" t="inlineStr">
        <is>
          <t>天数</t>
        </is>
      </c>
      <c r="O1" s="1" t="inlineStr">
        <is>
          <t>日均盈亏</t>
        </is>
      </c>
      <c r="P1" s="1" t="inlineStr">
        <is>
          <t>收益率</t>
        </is>
      </c>
      <c r="Q1" s="1" t="inlineStr">
        <is>
          <t>年化收益</t>
        </is>
      </c>
      <c r="R1" s="1" t="inlineStr">
        <is>
          <t>备注</t>
        </is>
      </c>
      <c r="S1" s="1" t="inlineStr">
        <is>
          <t>乘数</t>
        </is>
      </c>
      <c r="T1" s="1" t="inlineStr">
        <is>
          <t>币种</t>
        </is>
      </c>
      <c r="U1" s="1" t="inlineStr">
        <is>
          <t>年份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2026-04-29T08:48:37Z</dcterms:created>
  <dcterms:modified xsi:type="dcterms:W3CDTF">2026-04-30T05:26:20Z</dcterms:modified>
</cp:coreProperties>
</file>